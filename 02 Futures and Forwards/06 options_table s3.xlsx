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829a8eba043cb78/UDLAP/Derivatives/"/>
    </mc:Choice>
  </mc:AlternateContent>
  <xr:revisionPtr revIDLastSave="0" documentId="8_{3F1DE8D6-F856-4319-925F-0B82B68E2E52}" xr6:coauthVersionLast="47" xr6:coauthVersionMax="47" xr10:uidLastSave="{00000000-0000-0000-0000-000000000000}"/>
  <bookViews>
    <workbookView xWindow="24" yWindow="24" windowWidth="23016" windowHeight="12216" activeTab="1" xr2:uid="{00000000-000D-0000-FFFF-FFFF00000000}"/>
  </bookViews>
  <sheets>
    <sheet name="exercise" sheetId="2" r:id="rId1"/>
    <sheet name="option quot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7" i="1"/>
  <c r="A37" i="1"/>
  <c r="D36" i="1"/>
  <c r="B31" i="1"/>
  <c r="D28" i="1"/>
  <c r="B29" i="1" s="1"/>
  <c r="C29" i="1" s="1"/>
  <c r="C28" i="1"/>
  <c r="B28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</calcChain>
</file>

<file path=xl/sharedStrings.xml><?xml version="1.0" encoding="utf-8"?>
<sst xmlns="http://schemas.openxmlformats.org/spreadsheetml/2006/main" count="28" uniqueCount="25">
  <si>
    <t>CALL_BID</t>
  </si>
  <si>
    <t>CALL_ASK</t>
  </si>
  <si>
    <t>CALL_VOLUME</t>
  </si>
  <si>
    <t>CALL_DELTA</t>
  </si>
  <si>
    <t>STRIKE</t>
  </si>
  <si>
    <t>PUT_BID</t>
  </si>
  <si>
    <t>PUT_ASK</t>
  </si>
  <si>
    <t>PUT_VOLUME</t>
  </si>
  <si>
    <t>PUT_DELTA</t>
  </si>
  <si>
    <t>Call Price</t>
  </si>
  <si>
    <t>Strike</t>
  </si>
  <si>
    <t>Put Price</t>
  </si>
  <si>
    <t>Real Market Quotes of Option Prices</t>
  </si>
  <si>
    <t>Call</t>
  </si>
  <si>
    <t>Put</t>
  </si>
  <si>
    <t>Underlying: 100 Shares of Nvidia (NVDA: 187.62) Expiration Date: January 16, 2026</t>
  </si>
  <si>
    <t>S0</t>
  </si>
  <si>
    <t>K</t>
  </si>
  <si>
    <t>r</t>
  </si>
  <si>
    <t>Days to expiration</t>
  </si>
  <si>
    <t xml:space="preserve">S0 </t>
  </si>
  <si>
    <t>PV of Stike</t>
  </si>
  <si>
    <t>T</t>
  </si>
  <si>
    <t>C-P</t>
  </si>
  <si>
    <t>S -PV(K)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</si>
</sst>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B9DC"/>
        <bgColor indexed="64"/>
      </patternFill>
    </fill>
    <fill>
      <patternFill patternType="solid">
        <fgColor rgb="FFFFE1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0" fontId="1" fillId="0" borderId="0" xfId="0" applyNumberFormat="1" applyFont="1"/>
    <xf numFmtId="2" fontId="1" fillId="0" borderId="0" xfId="0" applyNumberFormat="1" applyFont="1"/>
    <xf numFmtId="2" fontId="1" fillId="0" borderId="0" xfId="0" applyNumberFormat="1" applyFont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CC"/>
      <color rgb="FFFFB9DC"/>
      <color rgb="FFFFE1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'option quotes'!$P$3</c:f>
              <c:strCache>
                <c:ptCount val="1"/>
                <c:pt idx="0">
                  <c:v>Strike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'option quotes'!$P$4:$P$23</c:f>
              <c:numCache>
                <c:formatCode>General</c:formatCode>
                <c:ptCount val="20"/>
                <c:pt idx="0">
                  <c:v>178</c:v>
                </c:pt>
                <c:pt idx="1">
                  <c:v>179</c:v>
                </c:pt>
                <c:pt idx="2">
                  <c:v>180</c:v>
                </c:pt>
                <c:pt idx="3">
                  <c:v>181</c:v>
                </c:pt>
                <c:pt idx="4">
                  <c:v>182</c:v>
                </c:pt>
                <c:pt idx="5">
                  <c:v>183</c:v>
                </c:pt>
                <c:pt idx="6">
                  <c:v>184</c:v>
                </c:pt>
                <c:pt idx="7">
                  <c:v>185</c:v>
                </c:pt>
                <c:pt idx="8">
                  <c:v>186</c:v>
                </c:pt>
                <c:pt idx="9">
                  <c:v>187</c:v>
                </c:pt>
                <c:pt idx="10">
                  <c:v>188</c:v>
                </c:pt>
                <c:pt idx="11">
                  <c:v>189</c:v>
                </c:pt>
                <c:pt idx="12">
                  <c:v>190</c:v>
                </c:pt>
                <c:pt idx="13">
                  <c:v>191</c:v>
                </c:pt>
                <c:pt idx="14">
                  <c:v>192</c:v>
                </c:pt>
                <c:pt idx="15">
                  <c:v>193</c:v>
                </c:pt>
                <c:pt idx="16">
                  <c:v>194</c:v>
                </c:pt>
                <c:pt idx="17">
                  <c:v>195</c:v>
                </c:pt>
                <c:pt idx="18">
                  <c:v>200</c:v>
                </c:pt>
                <c:pt idx="19">
                  <c:v>205</c:v>
                </c:pt>
              </c:numCache>
            </c:numRef>
          </c:xVal>
          <c:yVal>
            <c:numRef>
              <c:f>'option quotes'!$O$4:$O$23</c:f>
              <c:numCache>
                <c:formatCode>General</c:formatCode>
                <c:ptCount val="20"/>
                <c:pt idx="0">
                  <c:v>22.6</c:v>
                </c:pt>
                <c:pt idx="1">
                  <c:v>21.9</c:v>
                </c:pt>
                <c:pt idx="2">
                  <c:v>21.324999999999999</c:v>
                </c:pt>
                <c:pt idx="3">
                  <c:v>20.700000000000003</c:v>
                </c:pt>
                <c:pt idx="4">
                  <c:v>20.200000000000003</c:v>
                </c:pt>
                <c:pt idx="5">
                  <c:v>19.549999999999997</c:v>
                </c:pt>
                <c:pt idx="6">
                  <c:v>19</c:v>
                </c:pt>
                <c:pt idx="7">
                  <c:v>18.45</c:v>
                </c:pt>
                <c:pt idx="8">
                  <c:v>17.925000000000001</c:v>
                </c:pt>
                <c:pt idx="9">
                  <c:v>17.399999999999999</c:v>
                </c:pt>
                <c:pt idx="10">
                  <c:v>16.875</c:v>
                </c:pt>
                <c:pt idx="11">
                  <c:v>16.350000000000001</c:v>
                </c:pt>
                <c:pt idx="12">
                  <c:v>16.149999999999999</c:v>
                </c:pt>
                <c:pt idx="13">
                  <c:v>15.350000000000001</c:v>
                </c:pt>
                <c:pt idx="14">
                  <c:v>15.05</c:v>
                </c:pt>
                <c:pt idx="15">
                  <c:v>14.45</c:v>
                </c:pt>
                <c:pt idx="16">
                  <c:v>13.975000000000001</c:v>
                </c:pt>
                <c:pt idx="17">
                  <c:v>13.524999999999999</c:v>
                </c:pt>
                <c:pt idx="18">
                  <c:v>11.45</c:v>
                </c:pt>
                <c:pt idx="19">
                  <c:v>9.6000000000000014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F8-4882-9A70-31EEF68D6663}"/>
            </c:ext>
          </c:extLst>
        </c:ser>
        <c:ser>
          <c:idx val="1"/>
          <c:order val="1"/>
          <c:spPr>
            <a:ln w="19050" cap="rnd">
              <a:solidFill>
                <a:srgbClr val="FF99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CC"/>
              </a:solidFill>
              <a:ln w="9525">
                <a:solidFill>
                  <a:srgbClr val="FF99CC"/>
                </a:solidFill>
              </a:ln>
              <a:effectLst/>
            </c:spPr>
          </c:marker>
          <c:xVal>
            <c:numRef>
              <c:f>'option quotes'!$P$4:$P$23</c:f>
              <c:numCache>
                <c:formatCode>General</c:formatCode>
                <c:ptCount val="20"/>
                <c:pt idx="0">
                  <c:v>178</c:v>
                </c:pt>
                <c:pt idx="1">
                  <c:v>179</c:v>
                </c:pt>
                <c:pt idx="2">
                  <c:v>180</c:v>
                </c:pt>
                <c:pt idx="3">
                  <c:v>181</c:v>
                </c:pt>
                <c:pt idx="4">
                  <c:v>182</c:v>
                </c:pt>
                <c:pt idx="5">
                  <c:v>183</c:v>
                </c:pt>
                <c:pt idx="6">
                  <c:v>184</c:v>
                </c:pt>
                <c:pt idx="7">
                  <c:v>185</c:v>
                </c:pt>
                <c:pt idx="8">
                  <c:v>186</c:v>
                </c:pt>
                <c:pt idx="9">
                  <c:v>187</c:v>
                </c:pt>
                <c:pt idx="10">
                  <c:v>188</c:v>
                </c:pt>
                <c:pt idx="11">
                  <c:v>189</c:v>
                </c:pt>
                <c:pt idx="12">
                  <c:v>190</c:v>
                </c:pt>
                <c:pt idx="13">
                  <c:v>191</c:v>
                </c:pt>
                <c:pt idx="14">
                  <c:v>192</c:v>
                </c:pt>
                <c:pt idx="15">
                  <c:v>193</c:v>
                </c:pt>
                <c:pt idx="16">
                  <c:v>194</c:v>
                </c:pt>
                <c:pt idx="17">
                  <c:v>195</c:v>
                </c:pt>
                <c:pt idx="18">
                  <c:v>200</c:v>
                </c:pt>
                <c:pt idx="19">
                  <c:v>205</c:v>
                </c:pt>
              </c:numCache>
            </c:numRef>
          </c:xVal>
          <c:yVal>
            <c:numRef>
              <c:f>'option quotes'!$Q$4:$Q$23</c:f>
              <c:numCache>
                <c:formatCode>General</c:formatCode>
                <c:ptCount val="20"/>
                <c:pt idx="0">
                  <c:v>10.649999999999999</c:v>
                </c:pt>
                <c:pt idx="1">
                  <c:v>11.05</c:v>
                </c:pt>
                <c:pt idx="2">
                  <c:v>11.45</c:v>
                </c:pt>
                <c:pt idx="3">
                  <c:v>11.850000000000001</c:v>
                </c:pt>
                <c:pt idx="4">
                  <c:v>12.25</c:v>
                </c:pt>
                <c:pt idx="5">
                  <c:v>12.7</c:v>
                </c:pt>
                <c:pt idx="6">
                  <c:v>13.100000000000001</c:v>
                </c:pt>
                <c:pt idx="7">
                  <c:v>13.55</c:v>
                </c:pt>
                <c:pt idx="8">
                  <c:v>14.024999999999999</c:v>
                </c:pt>
                <c:pt idx="9">
                  <c:v>14.475000000000001</c:v>
                </c:pt>
                <c:pt idx="10">
                  <c:v>14.95</c:v>
                </c:pt>
                <c:pt idx="11">
                  <c:v>15.45</c:v>
                </c:pt>
                <c:pt idx="12">
                  <c:v>15.925000000000001</c:v>
                </c:pt>
                <c:pt idx="13">
                  <c:v>16.425000000000001</c:v>
                </c:pt>
                <c:pt idx="14">
                  <c:v>16.975000000000001</c:v>
                </c:pt>
                <c:pt idx="15">
                  <c:v>17.5</c:v>
                </c:pt>
                <c:pt idx="16">
                  <c:v>18.05</c:v>
                </c:pt>
                <c:pt idx="17">
                  <c:v>18.600000000000001</c:v>
                </c:pt>
                <c:pt idx="18">
                  <c:v>21.524999999999999</c:v>
                </c:pt>
                <c:pt idx="19">
                  <c:v>24.725000000000001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F8-4882-9A70-31EEF68D6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208816"/>
        <c:axId val="411211216"/>
      </c:scatterChart>
      <c:valAx>
        <c:axId val="41120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211216"/>
        <c:crosses val="autoZero"/>
        <c:crossBetween val="midCat"/>
      </c:valAx>
      <c:valAx>
        <c:axId val="41121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20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523873</xdr:colOff>
      <xdr:row>2</xdr:row>
      <xdr:rowOff>38100</xdr:rowOff>
    </xdr:from>
    <xdr:to>
      <xdr:col>30</xdr:col>
      <xdr:colOff>485774</xdr:colOff>
      <xdr:row>23</xdr:row>
      <xdr:rowOff>104776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C56521-A0F0-BA18-30D0-A78D2EA2F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Actinve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41E42"/>
      </a:accent1>
      <a:accent2>
        <a:srgbClr val="B6A269"/>
      </a:accent2>
      <a:accent3>
        <a:srgbClr val="555860"/>
      </a:accent3>
      <a:accent4>
        <a:srgbClr val="33CCFF"/>
      </a:accent4>
      <a:accent5>
        <a:srgbClr val="5B9BD5"/>
      </a:accent5>
      <a:accent6>
        <a:srgbClr val="78909C"/>
      </a:accent6>
      <a:hlink>
        <a:srgbClr val="0563C1"/>
      </a:hlink>
      <a:folHlink>
        <a:srgbClr val="008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AE6E-D5C9-4C45-AD21-09096871366C}">
  <dimension ref="A1"/>
  <sheetViews>
    <sheetView workbookViewId="0">
      <selection activeCell="D37" sqref="D37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"/>
  <sheetViews>
    <sheetView tabSelected="1" zoomScale="115" zoomScaleNormal="130" workbookViewId="0">
      <selection activeCell="L8" sqref="L8"/>
    </sheetView>
  </sheetViews>
  <sheetFormatPr defaultColWidth="9.109375" defaultRowHeight="13.8" x14ac:dyDescent="0.25"/>
  <cols>
    <col min="1" max="1" width="13.6640625" style="1" bestFit="1" customWidth="1"/>
    <col min="2" max="2" width="16.5546875" style="1" bestFit="1" customWidth="1"/>
    <col min="3" max="3" width="10.88671875" style="1" bestFit="1" customWidth="1"/>
    <col min="4" max="4" width="11.44140625" style="1" bestFit="1" customWidth="1"/>
    <col min="5" max="5" width="7.33203125" style="1" bestFit="1" customWidth="1"/>
    <col min="6" max="6" width="9" style="1" bestFit="1" customWidth="1"/>
    <col min="7" max="7" width="9.5546875" style="1" bestFit="1" customWidth="1"/>
    <col min="8" max="8" width="14.6640625" style="1" bestFit="1" customWidth="1"/>
    <col min="9" max="9" width="11.6640625" style="1" bestFit="1" customWidth="1"/>
    <col min="10" max="14" width="9.109375" style="1"/>
    <col min="15" max="15" width="7.88671875" style="1" bestFit="1" customWidth="1"/>
    <col min="16" max="16" width="6.44140625" style="1" bestFit="1" customWidth="1"/>
    <col min="17" max="17" width="7.88671875" style="1" bestFit="1" customWidth="1"/>
    <col min="18" max="16384" width="9.109375" style="1"/>
  </cols>
  <sheetData>
    <row r="1" spans="1:19" x14ac:dyDescent="0.25">
      <c r="A1" s="44" t="s">
        <v>12</v>
      </c>
      <c r="B1" s="45"/>
      <c r="C1" s="45"/>
      <c r="D1" s="45"/>
      <c r="E1" s="45"/>
      <c r="F1" s="45"/>
      <c r="G1" s="45"/>
      <c r="H1" s="45"/>
      <c r="I1" s="46"/>
      <c r="O1" s="1" t="s">
        <v>9</v>
      </c>
      <c r="P1" s="1" t="s">
        <v>11</v>
      </c>
      <c r="R1" s="1" t="s">
        <v>20</v>
      </c>
      <c r="S1" s="1" t="s">
        <v>21</v>
      </c>
    </row>
    <row r="2" spans="1:19" ht="14.4" thickBot="1" x14ac:dyDescent="0.3">
      <c r="A2" s="47" t="s">
        <v>15</v>
      </c>
      <c r="B2" s="48"/>
      <c r="C2" s="48"/>
      <c r="D2" s="48"/>
      <c r="E2" s="48"/>
      <c r="F2" s="48"/>
      <c r="G2" s="48"/>
      <c r="H2" s="48"/>
      <c r="I2" s="49"/>
    </row>
    <row r="3" spans="1:19" ht="14.4" thickBot="1" x14ac:dyDescent="0.3">
      <c r="A3" s="4" t="s">
        <v>3</v>
      </c>
      <c r="B3" s="4" t="s">
        <v>2</v>
      </c>
      <c r="C3" s="3" t="s">
        <v>0</v>
      </c>
      <c r="D3" s="4" t="s">
        <v>1</v>
      </c>
      <c r="E3" s="4" t="s">
        <v>4</v>
      </c>
      <c r="F3" s="4" t="s">
        <v>5</v>
      </c>
      <c r="G3" s="4" t="s">
        <v>6</v>
      </c>
      <c r="H3" s="4" t="s">
        <v>7</v>
      </c>
      <c r="I3" s="5" t="s">
        <v>8</v>
      </c>
      <c r="O3" s="34" t="s">
        <v>13</v>
      </c>
      <c r="P3" s="35" t="s">
        <v>10</v>
      </c>
      <c r="Q3" s="36" t="s">
        <v>14</v>
      </c>
      <c r="R3" s="2"/>
    </row>
    <row r="4" spans="1:19" x14ac:dyDescent="0.25">
      <c r="A4" s="6">
        <v>0.65700000000000003</v>
      </c>
      <c r="B4" s="7">
        <v>368</v>
      </c>
      <c r="C4" s="8">
        <v>22.35</v>
      </c>
      <c r="D4" s="8">
        <v>22.85</v>
      </c>
      <c r="E4" s="9">
        <v>178</v>
      </c>
      <c r="F4" s="10">
        <v>10.6</v>
      </c>
      <c r="G4" s="10">
        <v>10.7</v>
      </c>
      <c r="H4" s="11">
        <v>455</v>
      </c>
      <c r="I4" s="12">
        <v>-0.34899999999999998</v>
      </c>
      <c r="O4" s="37">
        <f>AVERAGE(C4:D4)</f>
        <v>22.6</v>
      </c>
      <c r="P4" s="16">
        <f t="shared" ref="P4:P23" si="0">E4</f>
        <v>178</v>
      </c>
      <c r="Q4" s="38">
        <f>AVERAGE(F4:G4)</f>
        <v>10.649999999999999</v>
      </c>
    </row>
    <row r="5" spans="1:19" x14ac:dyDescent="0.25">
      <c r="A5" s="13">
        <v>0.64800000000000002</v>
      </c>
      <c r="B5" s="14">
        <v>24</v>
      </c>
      <c r="C5" s="15">
        <v>21.75</v>
      </c>
      <c r="D5" s="15">
        <v>22.05</v>
      </c>
      <c r="E5" s="16">
        <v>179</v>
      </c>
      <c r="F5" s="17">
        <v>11</v>
      </c>
      <c r="G5" s="17">
        <v>11.1</v>
      </c>
      <c r="H5" s="18">
        <v>6</v>
      </c>
      <c r="I5" s="19">
        <v>-0.35799999999999998</v>
      </c>
      <c r="O5" s="37">
        <f t="shared" ref="O5:O23" si="1">AVERAGE(C5:D5)</f>
        <v>21.9</v>
      </c>
      <c r="P5" s="16">
        <f t="shared" si="0"/>
        <v>179</v>
      </c>
      <c r="Q5" s="38">
        <f t="shared" ref="Q5:Q23" si="2">AVERAGE(F5:G5)</f>
        <v>11.05</v>
      </c>
      <c r="R5" s="2"/>
    </row>
    <row r="6" spans="1:19" x14ac:dyDescent="0.25">
      <c r="A6" s="13">
        <v>0.63900000000000001</v>
      </c>
      <c r="B6" s="14">
        <v>1240</v>
      </c>
      <c r="C6" s="15">
        <v>21.2</v>
      </c>
      <c r="D6" s="15">
        <v>21.45</v>
      </c>
      <c r="E6" s="16">
        <v>180</v>
      </c>
      <c r="F6" s="17">
        <v>11.4</v>
      </c>
      <c r="G6" s="17">
        <v>11.5</v>
      </c>
      <c r="H6" s="18">
        <v>1000</v>
      </c>
      <c r="I6" s="19">
        <v>-0.36799999999999999</v>
      </c>
      <c r="O6" s="37">
        <f t="shared" si="1"/>
        <v>21.324999999999999</v>
      </c>
      <c r="P6" s="16">
        <f t="shared" si="0"/>
        <v>180</v>
      </c>
      <c r="Q6" s="38">
        <f t="shared" si="2"/>
        <v>11.45</v>
      </c>
      <c r="R6" s="2"/>
    </row>
    <row r="7" spans="1:19" x14ac:dyDescent="0.25">
      <c r="A7" s="13">
        <v>0.629</v>
      </c>
      <c r="B7" s="14">
        <v>77</v>
      </c>
      <c r="C7" s="15">
        <v>20.55</v>
      </c>
      <c r="D7" s="15">
        <v>20.85</v>
      </c>
      <c r="E7" s="16">
        <v>181</v>
      </c>
      <c r="F7" s="17">
        <v>11.8</v>
      </c>
      <c r="G7" s="17">
        <v>11.9</v>
      </c>
      <c r="H7" s="18">
        <v>62</v>
      </c>
      <c r="I7" s="19">
        <v>-0.377</v>
      </c>
      <c r="O7" s="37">
        <f t="shared" si="1"/>
        <v>20.700000000000003</v>
      </c>
      <c r="P7" s="16">
        <f t="shared" si="0"/>
        <v>181</v>
      </c>
      <c r="Q7" s="38">
        <f t="shared" si="2"/>
        <v>11.850000000000001</v>
      </c>
      <c r="R7" s="2"/>
    </row>
    <row r="8" spans="1:19" x14ac:dyDescent="0.25">
      <c r="A8" s="13">
        <v>0.62</v>
      </c>
      <c r="B8" s="14">
        <v>2300</v>
      </c>
      <c r="C8" s="15">
        <v>20.05</v>
      </c>
      <c r="D8" s="15">
        <v>20.350000000000001</v>
      </c>
      <c r="E8" s="16">
        <v>182</v>
      </c>
      <c r="F8" s="17">
        <v>12.2</v>
      </c>
      <c r="G8" s="17">
        <v>12.3</v>
      </c>
      <c r="H8" s="18">
        <v>11</v>
      </c>
      <c r="I8" s="19">
        <v>-0.38800000000000001</v>
      </c>
      <c r="O8" s="37">
        <f t="shared" si="1"/>
        <v>20.200000000000003</v>
      </c>
      <c r="P8" s="16">
        <f t="shared" si="0"/>
        <v>182</v>
      </c>
      <c r="Q8" s="38">
        <f t="shared" si="2"/>
        <v>12.25</v>
      </c>
      <c r="R8" s="2"/>
    </row>
    <row r="9" spans="1:19" x14ac:dyDescent="0.25">
      <c r="A9" s="13">
        <v>0.61</v>
      </c>
      <c r="B9" s="14">
        <v>103</v>
      </c>
      <c r="C9" s="15">
        <v>19.399999999999999</v>
      </c>
      <c r="D9" s="15">
        <v>19.7</v>
      </c>
      <c r="E9" s="16">
        <v>183</v>
      </c>
      <c r="F9" s="17">
        <v>12.65</v>
      </c>
      <c r="G9" s="17">
        <v>12.75</v>
      </c>
      <c r="H9" s="18">
        <v>20</v>
      </c>
      <c r="I9" s="19">
        <v>-0.39800000000000002</v>
      </c>
      <c r="O9" s="37">
        <f t="shared" si="1"/>
        <v>19.549999999999997</v>
      </c>
      <c r="P9" s="16">
        <f t="shared" si="0"/>
        <v>183</v>
      </c>
      <c r="Q9" s="38">
        <f t="shared" si="2"/>
        <v>12.7</v>
      </c>
      <c r="R9" s="2"/>
    </row>
    <row r="10" spans="1:19" x14ac:dyDescent="0.25">
      <c r="A10" s="13">
        <v>0.6</v>
      </c>
      <c r="B10" s="14">
        <v>155</v>
      </c>
      <c r="C10" s="15">
        <v>18.850000000000001</v>
      </c>
      <c r="D10" s="15">
        <v>19.149999999999999</v>
      </c>
      <c r="E10" s="16">
        <v>184</v>
      </c>
      <c r="F10" s="17">
        <v>13.05</v>
      </c>
      <c r="G10" s="17">
        <v>13.15</v>
      </c>
      <c r="H10" s="18">
        <v>10</v>
      </c>
      <c r="I10" s="19">
        <v>-0.40699999999999997</v>
      </c>
      <c r="O10" s="37">
        <f t="shared" si="1"/>
        <v>19</v>
      </c>
      <c r="P10" s="16">
        <f t="shared" si="0"/>
        <v>184</v>
      </c>
      <c r="Q10" s="38">
        <f t="shared" si="2"/>
        <v>13.100000000000001</v>
      </c>
      <c r="R10" s="2"/>
    </row>
    <row r="11" spans="1:19" x14ac:dyDescent="0.25">
      <c r="A11" s="13">
        <v>0.59</v>
      </c>
      <c r="B11" s="14">
        <v>635</v>
      </c>
      <c r="C11" s="15">
        <v>18.399999999999999</v>
      </c>
      <c r="D11" s="15">
        <v>18.5</v>
      </c>
      <c r="E11" s="16">
        <v>185</v>
      </c>
      <c r="F11" s="17">
        <v>13.5</v>
      </c>
      <c r="G11" s="17">
        <v>13.6</v>
      </c>
      <c r="H11" s="18">
        <v>143</v>
      </c>
      <c r="I11" s="19">
        <v>-0.41799999999999998</v>
      </c>
      <c r="O11" s="37">
        <f t="shared" si="1"/>
        <v>18.45</v>
      </c>
      <c r="P11" s="16">
        <f t="shared" si="0"/>
        <v>185</v>
      </c>
      <c r="Q11" s="38">
        <f t="shared" si="2"/>
        <v>13.55</v>
      </c>
      <c r="R11" s="2"/>
    </row>
    <row r="12" spans="1:19" x14ac:dyDescent="0.25">
      <c r="A12" s="20">
        <v>0.58099999999999996</v>
      </c>
      <c r="B12" s="21">
        <v>85</v>
      </c>
      <c r="C12" s="22">
        <v>17.850000000000001</v>
      </c>
      <c r="D12" s="22">
        <v>18</v>
      </c>
      <c r="E12" s="23">
        <v>186</v>
      </c>
      <c r="F12" s="24">
        <v>13.95</v>
      </c>
      <c r="G12" s="24">
        <v>14.1</v>
      </c>
      <c r="H12" s="25">
        <v>41</v>
      </c>
      <c r="I12" s="26">
        <v>-0.42799999999999999</v>
      </c>
      <c r="O12" s="37">
        <f t="shared" si="1"/>
        <v>17.925000000000001</v>
      </c>
      <c r="P12" s="16">
        <f t="shared" si="0"/>
        <v>186</v>
      </c>
      <c r="Q12" s="38">
        <f t="shared" si="2"/>
        <v>14.024999999999999</v>
      </c>
      <c r="R12" s="2"/>
    </row>
    <row r="13" spans="1:19" x14ac:dyDescent="0.25">
      <c r="A13" s="20">
        <v>0.57099999999999995</v>
      </c>
      <c r="B13" s="21">
        <v>155</v>
      </c>
      <c r="C13" s="22">
        <v>17.350000000000001</v>
      </c>
      <c r="D13" s="22">
        <v>17.45</v>
      </c>
      <c r="E13" s="23">
        <v>187</v>
      </c>
      <c r="F13" s="24">
        <v>14.4</v>
      </c>
      <c r="G13" s="24">
        <v>14.55</v>
      </c>
      <c r="H13" s="25">
        <v>128</v>
      </c>
      <c r="I13" s="26">
        <v>-0.438</v>
      </c>
      <c r="O13" s="37">
        <f t="shared" si="1"/>
        <v>17.399999999999999</v>
      </c>
      <c r="P13" s="16">
        <f t="shared" si="0"/>
        <v>187</v>
      </c>
      <c r="Q13" s="38">
        <f t="shared" si="2"/>
        <v>14.475000000000001</v>
      </c>
      <c r="R13" s="2"/>
    </row>
    <row r="14" spans="1:19" x14ac:dyDescent="0.25">
      <c r="A14" s="20">
        <v>0.56100000000000005</v>
      </c>
      <c r="B14" s="21">
        <v>207</v>
      </c>
      <c r="C14" s="22">
        <v>16.8</v>
      </c>
      <c r="D14" s="22">
        <v>16.95</v>
      </c>
      <c r="E14" s="23">
        <v>188</v>
      </c>
      <c r="F14" s="24">
        <v>14.9</v>
      </c>
      <c r="G14" s="24">
        <v>15</v>
      </c>
      <c r="H14" s="25">
        <v>58</v>
      </c>
      <c r="I14" s="26">
        <v>-0.44800000000000001</v>
      </c>
      <c r="O14" s="37">
        <f t="shared" si="1"/>
        <v>16.875</v>
      </c>
      <c r="P14" s="16">
        <f t="shared" si="0"/>
        <v>188</v>
      </c>
      <c r="Q14" s="38">
        <f t="shared" si="2"/>
        <v>14.95</v>
      </c>
      <c r="R14" s="2"/>
    </row>
    <row r="15" spans="1:19" x14ac:dyDescent="0.25">
      <c r="A15" s="20">
        <v>0.55100000000000005</v>
      </c>
      <c r="B15" s="21">
        <v>269</v>
      </c>
      <c r="C15" s="22">
        <v>16.3</v>
      </c>
      <c r="D15" s="22">
        <v>16.399999999999999</v>
      </c>
      <c r="E15" s="23">
        <v>189</v>
      </c>
      <c r="F15" s="24">
        <v>15.4</v>
      </c>
      <c r="G15" s="24">
        <v>15.5</v>
      </c>
      <c r="H15" s="25">
        <v>58</v>
      </c>
      <c r="I15" s="26">
        <v>-0.45900000000000002</v>
      </c>
      <c r="O15" s="37">
        <f t="shared" si="1"/>
        <v>16.350000000000001</v>
      </c>
      <c r="P15" s="16">
        <f t="shared" si="0"/>
        <v>189</v>
      </c>
      <c r="Q15" s="38">
        <f t="shared" si="2"/>
        <v>15.45</v>
      </c>
      <c r="R15" s="2"/>
    </row>
    <row r="16" spans="1:19" x14ac:dyDescent="0.25">
      <c r="A16" s="20">
        <v>0.54100000000000004</v>
      </c>
      <c r="B16" s="21">
        <v>2890</v>
      </c>
      <c r="C16" s="22">
        <v>15.8</v>
      </c>
      <c r="D16" s="22">
        <v>16.5</v>
      </c>
      <c r="E16" s="23">
        <v>190</v>
      </c>
      <c r="F16" s="24">
        <v>15.85</v>
      </c>
      <c r="G16" s="24">
        <v>16</v>
      </c>
      <c r="H16" s="25">
        <v>650</v>
      </c>
      <c r="I16" s="26">
        <v>-0.46899999999999997</v>
      </c>
      <c r="O16" s="37">
        <f t="shared" si="1"/>
        <v>16.149999999999999</v>
      </c>
      <c r="P16" s="16">
        <f t="shared" si="0"/>
        <v>190</v>
      </c>
      <c r="Q16" s="38">
        <f t="shared" si="2"/>
        <v>15.925000000000001</v>
      </c>
      <c r="R16" s="2"/>
    </row>
    <row r="17" spans="1:18" x14ac:dyDescent="0.25">
      <c r="A17" s="20">
        <v>0.53100000000000003</v>
      </c>
      <c r="B17" s="21">
        <v>115</v>
      </c>
      <c r="C17" s="22">
        <v>15.3</v>
      </c>
      <c r="D17" s="22">
        <v>15.4</v>
      </c>
      <c r="E17" s="23">
        <v>191</v>
      </c>
      <c r="F17" s="24">
        <v>16.350000000000001</v>
      </c>
      <c r="G17" s="24">
        <v>16.5</v>
      </c>
      <c r="H17" s="25">
        <v>44</v>
      </c>
      <c r="I17" s="26">
        <v>-0.47899999999999998</v>
      </c>
      <c r="O17" s="37">
        <f t="shared" si="1"/>
        <v>15.350000000000001</v>
      </c>
      <c r="P17" s="16">
        <f t="shared" si="0"/>
        <v>191</v>
      </c>
      <c r="Q17" s="38">
        <f t="shared" si="2"/>
        <v>16.425000000000001</v>
      </c>
      <c r="R17" s="2"/>
    </row>
    <row r="18" spans="1:18" x14ac:dyDescent="0.25">
      <c r="A18" s="20">
        <v>0.52100000000000002</v>
      </c>
      <c r="B18" s="21">
        <v>86</v>
      </c>
      <c r="C18" s="22">
        <v>14.85</v>
      </c>
      <c r="D18" s="22">
        <v>15.25</v>
      </c>
      <c r="E18" s="23">
        <v>192</v>
      </c>
      <c r="F18" s="24">
        <v>16.899999999999999</v>
      </c>
      <c r="G18" s="24">
        <v>17.05</v>
      </c>
      <c r="H18" s="25">
        <v>6</v>
      </c>
      <c r="I18" s="26">
        <v>-0.48899999999999999</v>
      </c>
      <c r="O18" s="37">
        <f t="shared" si="1"/>
        <v>15.05</v>
      </c>
      <c r="P18" s="16">
        <f t="shared" si="0"/>
        <v>192</v>
      </c>
      <c r="Q18" s="38">
        <f t="shared" si="2"/>
        <v>16.975000000000001</v>
      </c>
      <c r="R18" s="2"/>
    </row>
    <row r="19" spans="1:18" x14ac:dyDescent="0.25">
      <c r="A19" s="20">
        <v>0.51100000000000001</v>
      </c>
      <c r="B19" s="21">
        <v>77</v>
      </c>
      <c r="C19" s="22">
        <v>14.35</v>
      </c>
      <c r="D19" s="22">
        <v>14.55</v>
      </c>
      <c r="E19" s="23">
        <v>193</v>
      </c>
      <c r="F19" s="24">
        <v>17.45</v>
      </c>
      <c r="G19" s="24">
        <v>17.55</v>
      </c>
      <c r="H19" s="25">
        <v>11</v>
      </c>
      <c r="I19" s="26">
        <v>-0.5</v>
      </c>
      <c r="O19" s="37">
        <f t="shared" si="1"/>
        <v>14.45</v>
      </c>
      <c r="P19" s="16">
        <f t="shared" si="0"/>
        <v>193</v>
      </c>
      <c r="Q19" s="38">
        <f t="shared" si="2"/>
        <v>17.5</v>
      </c>
      <c r="R19" s="2"/>
    </row>
    <row r="20" spans="1:18" x14ac:dyDescent="0.25">
      <c r="A20" s="20">
        <v>0.501</v>
      </c>
      <c r="B20" s="21">
        <v>112</v>
      </c>
      <c r="C20" s="22">
        <v>13.9</v>
      </c>
      <c r="D20" s="22">
        <v>14.05</v>
      </c>
      <c r="E20" s="23">
        <v>194</v>
      </c>
      <c r="F20" s="24">
        <v>18</v>
      </c>
      <c r="G20" s="24">
        <v>18.100000000000001</v>
      </c>
      <c r="H20" s="25">
        <v>1</v>
      </c>
      <c r="I20" s="26">
        <v>-0.51</v>
      </c>
      <c r="O20" s="37">
        <f t="shared" si="1"/>
        <v>13.975000000000001</v>
      </c>
      <c r="P20" s="16">
        <f t="shared" si="0"/>
        <v>194</v>
      </c>
      <c r="Q20" s="38">
        <f t="shared" si="2"/>
        <v>18.05</v>
      </c>
      <c r="R20" s="2"/>
    </row>
    <row r="21" spans="1:18" x14ac:dyDescent="0.25">
      <c r="A21" s="20">
        <v>0.49099999999999999</v>
      </c>
      <c r="B21" s="21">
        <v>888</v>
      </c>
      <c r="C21" s="22">
        <v>13.45</v>
      </c>
      <c r="D21" s="22">
        <v>13.6</v>
      </c>
      <c r="E21" s="23">
        <v>195</v>
      </c>
      <c r="F21" s="24">
        <v>18.55</v>
      </c>
      <c r="G21" s="24">
        <v>18.649999999999999</v>
      </c>
      <c r="H21" s="25">
        <v>94</v>
      </c>
      <c r="I21" s="26">
        <v>-0.52100000000000002</v>
      </c>
      <c r="O21" s="37">
        <f t="shared" si="1"/>
        <v>13.524999999999999</v>
      </c>
      <c r="P21" s="16">
        <f t="shared" si="0"/>
        <v>195</v>
      </c>
      <c r="Q21" s="38">
        <f t="shared" si="2"/>
        <v>18.600000000000001</v>
      </c>
      <c r="R21" s="2"/>
    </row>
    <row r="22" spans="1:18" x14ac:dyDescent="0.25">
      <c r="A22" s="20">
        <v>0.441</v>
      </c>
      <c r="B22" s="21">
        <v>3720</v>
      </c>
      <c r="C22" s="22">
        <v>11.4</v>
      </c>
      <c r="D22" s="22">
        <v>11.5</v>
      </c>
      <c r="E22" s="23">
        <v>200</v>
      </c>
      <c r="F22" s="24">
        <v>21.45</v>
      </c>
      <c r="G22" s="24">
        <v>21.6</v>
      </c>
      <c r="H22" s="25">
        <v>60</v>
      </c>
      <c r="I22" s="26">
        <v>-0.57299999999999995</v>
      </c>
      <c r="O22" s="37">
        <f t="shared" si="1"/>
        <v>11.45</v>
      </c>
      <c r="P22" s="16">
        <f t="shared" si="0"/>
        <v>200</v>
      </c>
      <c r="Q22" s="38">
        <f t="shared" si="2"/>
        <v>21.524999999999999</v>
      </c>
      <c r="R22" s="2"/>
    </row>
    <row r="23" spans="1:18" ht="14.4" thickBot="1" x14ac:dyDescent="0.3">
      <c r="A23" s="27">
        <v>0.39200000000000002</v>
      </c>
      <c r="B23" s="28">
        <v>1040</v>
      </c>
      <c r="C23" s="29">
        <v>9.5500000000000007</v>
      </c>
      <c r="D23" s="29">
        <v>9.65</v>
      </c>
      <c r="E23" s="30">
        <v>205</v>
      </c>
      <c r="F23" s="31">
        <v>24.55</v>
      </c>
      <c r="G23" s="31">
        <v>24.9</v>
      </c>
      <c r="H23" s="32">
        <v>6</v>
      </c>
      <c r="I23" s="33">
        <v>-0.624</v>
      </c>
      <c r="O23" s="37">
        <f t="shared" si="1"/>
        <v>9.6000000000000014</v>
      </c>
      <c r="P23" s="39">
        <f t="shared" si="0"/>
        <v>205</v>
      </c>
      <c r="Q23" s="40">
        <f t="shared" si="2"/>
        <v>24.725000000000001</v>
      </c>
      <c r="R23" s="2"/>
    </row>
    <row r="24" spans="1:18" x14ac:dyDescent="0.25">
      <c r="O24" s="2"/>
      <c r="P24" s="2"/>
      <c r="Q24" s="2"/>
      <c r="R24" s="2"/>
    </row>
    <row r="27" spans="1:18" hidden="1" x14ac:dyDescent="0.25">
      <c r="A27" s="1" t="s">
        <v>16</v>
      </c>
      <c r="B27" s="1" t="s">
        <v>17</v>
      </c>
      <c r="C27" s="1" t="s">
        <v>18</v>
      </c>
      <c r="D27" s="1" t="s">
        <v>19</v>
      </c>
    </row>
    <row r="28" spans="1:18" hidden="1" x14ac:dyDescent="0.25">
      <c r="A28" s="1">
        <v>187.62</v>
      </c>
      <c r="B28" s="1">
        <f>P4</f>
        <v>178</v>
      </c>
      <c r="C28" s="41">
        <f>4.2%</f>
        <v>4.2000000000000003E-2</v>
      </c>
      <c r="D28" s="1">
        <f>21*3 + 16</f>
        <v>79</v>
      </c>
    </row>
    <row r="29" spans="1:18" hidden="1" x14ac:dyDescent="0.25">
      <c r="A29" s="1">
        <v>187.62</v>
      </c>
      <c r="B29" s="1">
        <f>B28*EXP(-C28*(D28/252))</f>
        <v>175.67169497776135</v>
      </c>
      <c r="C29" s="42">
        <f>A29-B29</f>
        <v>11.948305022238657</v>
      </c>
    </row>
    <row r="31" spans="1:18" x14ac:dyDescent="0.25">
      <c r="A31" s="1" t="s">
        <v>23</v>
      </c>
      <c r="B31" s="2">
        <f>O4-Q4</f>
        <v>11.950000000000003</v>
      </c>
    </row>
    <row r="32" spans="1:18" x14ac:dyDescent="0.25">
      <c r="A32" s="1" t="s">
        <v>24</v>
      </c>
      <c r="B32" s="43">
        <f>A37-B37</f>
        <v>11.948305022238657</v>
      </c>
    </row>
    <row r="33" spans="1:4" x14ac:dyDescent="0.25">
      <c r="B33" s="1">
        <v>252</v>
      </c>
      <c r="C33" s="1">
        <v>21</v>
      </c>
    </row>
    <row r="35" spans="1:4" x14ac:dyDescent="0.25">
      <c r="A35" s="1" t="s">
        <v>16</v>
      </c>
      <c r="B35" s="1" t="s">
        <v>17</v>
      </c>
      <c r="C35" s="1" t="s">
        <v>18</v>
      </c>
      <c r="D35" s="1" t="s">
        <v>22</v>
      </c>
    </row>
    <row r="36" spans="1:4" x14ac:dyDescent="0.25">
      <c r="A36" s="1">
        <v>187.62</v>
      </c>
      <c r="B36" s="1">
        <v>178</v>
      </c>
      <c r="C36" s="41">
        <v>4.2000000000000003E-2</v>
      </c>
      <c r="D36" s="1">
        <f>(21*3) + 16</f>
        <v>79</v>
      </c>
    </row>
    <row r="37" spans="1:4" x14ac:dyDescent="0.25">
      <c r="A37" s="1">
        <f>A36</f>
        <v>187.62</v>
      </c>
      <c r="B37" s="1">
        <f>B36*EXP(-C36*(D36/B33))</f>
        <v>175.67169497776135</v>
      </c>
    </row>
    <row r="39" spans="1:4" customFormat="1" ht="14.4" x14ac:dyDescent="0.3"/>
    <row r="40" spans="1:4" customFormat="1" ht="14.4" x14ac:dyDescent="0.3"/>
    <row r="41" spans="1:4" customFormat="1" ht="14.4" x14ac:dyDescent="0.3"/>
    <row r="42" spans="1:4" customFormat="1" ht="14.4" x14ac:dyDescent="0.3"/>
    <row r="43" spans="1:4" customFormat="1" ht="14.4" x14ac:dyDescent="0.3"/>
    <row r="44" spans="1:4" customFormat="1" ht="14.4" x14ac:dyDescent="0.3"/>
    <row r="45" spans="1:4" customFormat="1" ht="14.4" x14ac:dyDescent="0.3"/>
    <row r="46" spans="1:4" customFormat="1" ht="14.4" x14ac:dyDescent="0.3"/>
    <row r="47" spans="1:4" customFormat="1" ht="14.4" x14ac:dyDescent="0.3"/>
    <row r="48" spans="1:4" customFormat="1" ht="14.4" x14ac:dyDescent="0.3"/>
    <row r="49" customFormat="1" ht="14.4" x14ac:dyDescent="0.3"/>
    <row r="50" customFormat="1" ht="14.4" x14ac:dyDescent="0.3"/>
    <row r="51" customFormat="1" ht="14.4" x14ac:dyDescent="0.3"/>
    <row r="52" customFormat="1" ht="14.4" x14ac:dyDescent="0.3"/>
    <row r="53" customFormat="1" ht="14.4" x14ac:dyDescent="0.3"/>
    <row r="54" customFormat="1" ht="14.4" x14ac:dyDescent="0.3"/>
    <row r="55" customFormat="1" ht="14.4" x14ac:dyDescent="0.3"/>
    <row r="56" customFormat="1" ht="14.4" x14ac:dyDescent="0.3"/>
    <row r="57" customFormat="1" ht="14.4" x14ac:dyDescent="0.3"/>
    <row r="58" customFormat="1" ht="14.4" x14ac:dyDescent="0.3"/>
    <row r="59" customFormat="1" ht="14.4" x14ac:dyDescent="0.3"/>
    <row r="60" customFormat="1" ht="14.4" x14ac:dyDescent="0.3"/>
    <row r="61" customFormat="1" ht="14.4" x14ac:dyDescent="0.3"/>
    <row r="62" customFormat="1" ht="14.4" x14ac:dyDescent="0.3"/>
    <row r="63" customFormat="1" ht="14.4" x14ac:dyDescent="0.3"/>
  </sheetData>
  <mergeCells count="2">
    <mergeCell ref="A1:I1"/>
    <mergeCell ref="A2:I2"/>
  </mergeCells>
  <conditionalFormatting sqref="O4:O2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4:Q2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ignoredErrors>
    <ignoredError sqref="O4:Q23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option 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Muñoz</dc:creator>
  <cp:lastModifiedBy>Gustavo Muñoz</cp:lastModifiedBy>
  <dcterms:created xsi:type="dcterms:W3CDTF">2025-10-04T13:01:09Z</dcterms:created>
  <dcterms:modified xsi:type="dcterms:W3CDTF">2025-10-08T03:00:01Z</dcterms:modified>
</cp:coreProperties>
</file>