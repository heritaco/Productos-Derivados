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Desktop\"/>
    </mc:Choice>
  </mc:AlternateContent>
  <xr:revisionPtr revIDLastSave="0" documentId="8_{743352AF-C215-4EC8-8AF2-A3C14E6292A8}" xr6:coauthVersionLast="47" xr6:coauthVersionMax="47" xr10:uidLastSave="{00000000-0000-0000-0000-000000000000}"/>
  <bookViews>
    <workbookView xWindow="22932" yWindow="-108" windowWidth="23256" windowHeight="12456" xr2:uid="{B900AF35-EEB2-4FCC-BF95-DCF249988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3" i="1" s="1"/>
  <c r="E11" i="1"/>
  <c r="F5" i="1"/>
  <c r="F4" i="1"/>
  <c r="E5" i="1"/>
  <c r="E4" i="1"/>
  <c r="C13" i="1" s="1"/>
</calcChain>
</file>

<file path=xl/sharedStrings.xml><?xml version="1.0" encoding="utf-8"?>
<sst xmlns="http://schemas.openxmlformats.org/spreadsheetml/2006/main" count="17" uniqueCount="16">
  <si>
    <t>S0</t>
  </si>
  <si>
    <t>r</t>
  </si>
  <si>
    <t>T</t>
  </si>
  <si>
    <t>F0</t>
  </si>
  <si>
    <t>d</t>
  </si>
  <si>
    <t>Real</t>
  </si>
  <si>
    <t>Risk Free</t>
  </si>
  <si>
    <t>Dividend yield</t>
  </si>
  <si>
    <t>1 Year</t>
  </si>
  <si>
    <t>Rate</t>
  </si>
  <si>
    <t>Daily</t>
  </si>
  <si>
    <t>Stock Price</t>
  </si>
  <si>
    <t>Horizon</t>
  </si>
  <si>
    <t>days</t>
  </si>
  <si>
    <t>F0&lt;Real</t>
  </si>
  <si>
    <t>continuos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</si>
</sst>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%"/>
  </numFmts>
  <fonts count="2" x14ac:knownFonts="1">
    <font>
      <sz val="11"/>
      <color theme="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0" applyNumberFormat="1"/>
    <xf numFmtId="10" fontId="0" fillId="0" borderId="0" xfId="1" applyNumberFormat="1" applyFont="1"/>
    <xf numFmtId="167" fontId="0" fillId="0" borderId="0" xfId="1" applyNumberFormat="1" applyFont="1"/>
    <xf numFmtId="2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715D-2CBD-4B0E-A869-E460E8FDDCEB}">
  <dimension ref="B3:F15"/>
  <sheetViews>
    <sheetView tabSelected="1" workbookViewId="0">
      <selection activeCell="E8" sqref="E8"/>
    </sheetView>
  </sheetViews>
  <sheetFormatPr defaultRowHeight="16.5" x14ac:dyDescent="0.3"/>
  <cols>
    <col min="2" max="2" width="14" bestFit="1" customWidth="1"/>
    <col min="5" max="5" width="11.875" bestFit="1" customWidth="1"/>
    <col min="6" max="6" width="11.375" bestFit="1" customWidth="1"/>
  </cols>
  <sheetData>
    <row r="3" spans="2:6" x14ac:dyDescent="0.3">
      <c r="C3" t="s">
        <v>9</v>
      </c>
      <c r="D3" t="s">
        <v>8</v>
      </c>
      <c r="E3" t="s">
        <v>10</v>
      </c>
      <c r="F3" t="s">
        <v>15</v>
      </c>
    </row>
    <row r="4" spans="2:6" x14ac:dyDescent="0.3">
      <c r="B4" t="s">
        <v>6</v>
      </c>
      <c r="C4" t="s">
        <v>1</v>
      </c>
      <c r="D4" s="1">
        <v>4.41E-2</v>
      </c>
      <c r="E4" s="3">
        <f>(1+D4)^(1/360) - 1</f>
        <v>1.1988293625697644E-4</v>
      </c>
      <c r="F4" s="2">
        <f>LN(1+D4)</f>
        <v>4.3155270313927629E-2</v>
      </c>
    </row>
    <row r="5" spans="2:6" x14ac:dyDescent="0.3">
      <c r="B5" t="s">
        <v>7</v>
      </c>
      <c r="C5" t="s">
        <v>4</v>
      </c>
      <c r="D5" s="1">
        <v>1.2500000000000001E-2</v>
      </c>
      <c r="E5" s="3">
        <f>(1+D5)^(1/252) - 1</f>
        <v>4.929692933375307E-5</v>
      </c>
      <c r="F5" s="2">
        <f>LN(1+D5)</f>
        <v>1.242251999855711E-2</v>
      </c>
    </row>
    <row r="7" spans="2:6" x14ac:dyDescent="0.3">
      <c r="B7" t="s">
        <v>11</v>
      </c>
    </row>
    <row r="8" spans="2:6" x14ac:dyDescent="0.3">
      <c r="B8" t="s">
        <v>0</v>
      </c>
      <c r="C8" s="5">
        <v>6481.5</v>
      </c>
    </row>
    <row r="10" spans="2:6" x14ac:dyDescent="0.3">
      <c r="B10" t="s">
        <v>12</v>
      </c>
      <c r="C10" t="s">
        <v>13</v>
      </c>
    </row>
    <row r="11" spans="2:6" x14ac:dyDescent="0.3">
      <c r="B11" t="s">
        <v>2</v>
      </c>
      <c r="C11">
        <v>14</v>
      </c>
      <c r="E11">
        <f>C11/360</f>
        <v>3.888888888888889E-2</v>
      </c>
      <c r="F11">
        <f>C11/252</f>
        <v>5.5555555555555552E-2</v>
      </c>
    </row>
    <row r="13" spans="2:6" x14ac:dyDescent="0.3">
      <c r="B13" t="s">
        <v>3</v>
      </c>
      <c r="C13" s="4">
        <f>C8*(EXP((E4-E5)*C11))</f>
        <v>6487.9082106427322</v>
      </c>
      <c r="E13">
        <f>C8*(EXP(((F4*E11)-(F5*F11))))</f>
        <v>6487.9076683533049</v>
      </c>
    </row>
    <row r="14" spans="2:6" x14ac:dyDescent="0.3">
      <c r="B14" t="s">
        <v>5</v>
      </c>
      <c r="C14">
        <v>6488.75</v>
      </c>
      <c r="E14">
        <v>6488.75</v>
      </c>
    </row>
    <row r="15" spans="2:6" x14ac:dyDescent="0.3">
      <c r="C15" t="s">
        <v>14</v>
      </c>
      <c r="E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Muñoz</dc:creator>
  <cp:lastModifiedBy>Gustavo Muñoz</cp:lastModifiedBy>
  <dcterms:created xsi:type="dcterms:W3CDTF">2025-09-06T15:08:09Z</dcterms:created>
  <dcterms:modified xsi:type="dcterms:W3CDTF">2025-09-08T12:46:55Z</dcterms:modified>
</cp:coreProperties>
</file>